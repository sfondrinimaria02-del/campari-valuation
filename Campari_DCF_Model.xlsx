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Football Fie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-"/>
    <numFmt numFmtId="165" formatCode="0.0x"/>
    <numFmt numFmtId="166" formatCode="#,##0;(#,##0);-"/>
    <numFmt numFmtId="167" formatCode="€0.00"/>
    <numFmt numFmtId="168" formatCode="0.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164" fontId="4" fillId="3" borderId="0" pivotButton="0" quotePrefix="0" xfId="0"/>
    <xf numFmtId="164" fontId="4" fillId="0" borderId="0" pivotButton="0" quotePrefix="0" xfId="0"/>
    <xf numFmtId="2" fontId="4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3" borderId="0" pivotButton="0" quotePrefix="0" xfId="0"/>
    <xf numFmtId="1" fontId="2" fillId="0" borderId="0" pivotButton="0" quotePrefix="0" xfId="0"/>
    <xf numFmtId="166" fontId="2" fillId="0" borderId="0" pivotButton="0" quotePrefix="0" xfId="0"/>
    <xf numFmtId="166" fontId="3" fillId="0" borderId="1" pivotButton="0" quotePrefix="0" xfId="0"/>
    <xf numFmtId="168" fontId="2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0" fontId="3" fillId="0" borderId="0" pivotButton="0" quotePrefix="0" xfId="0"/>
    <xf numFmtId="167" fontId="2" fillId="0" borderId="0" pivotButton="0" quotePrefix="0" xfId="0"/>
    <xf numFmtId="165" fontId="3" fillId="0" borderId="0" pivotButton="0" quotePrefix="0" xfId="0"/>
    <xf numFmtId="165" fontId="2" fillId="0" borderId="0" pivotButton="0" quotePrefix="0" xfId="0"/>
    <xf numFmtId="166" fontId="6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Campari Group (BIT: CPR) — DCF &amp; Trading Comparables Valuation Model</t>
        </is>
      </c>
    </row>
    <row r="2">
      <c r="A2" s="2" t="inlineStr">
        <is>
          <t>Author: Maria Sfondrini · July 2026 · Academic portfolio project — not investment advice</t>
        </is>
      </c>
    </row>
    <row r="3">
      <c r="A3" s="2" t="inlineStr"/>
    </row>
    <row r="4">
      <c r="A4" s="3" t="inlineStr">
        <is>
          <t>HOW TO READ THIS MODEL</t>
        </is>
      </c>
    </row>
    <row r="5">
      <c r="A5" s="4" t="inlineStr">
        <is>
          <t>Blue font = hardcoded input you can change (assumptions, market data).</t>
        </is>
      </c>
    </row>
    <row r="6">
      <c r="A6" s="2" t="inlineStr">
        <is>
          <t>Black font = formula. Never overwrite.</t>
        </is>
      </c>
    </row>
    <row r="7">
      <c r="A7" s="2" t="inlineStr">
        <is>
          <t>Yellow fill = key assumption or figure to VERIFY against primary sources before presenting.</t>
        </is>
      </c>
    </row>
    <row r="8">
      <c r="A8" s="2" t="inlineStr"/>
    </row>
    <row r="9">
      <c r="A9" s="3" t="inlineStr">
        <is>
          <t>TABS</t>
        </is>
      </c>
    </row>
    <row r="10">
      <c r="A10" s="2" t="inlineStr">
        <is>
          <t>1. Assumptions — every driver of the model, with rationale notes</t>
        </is>
      </c>
    </row>
    <row r="11">
      <c r="A11" s="2" t="inlineStr">
        <is>
          <t>2. DCF Model — historicals (FY2024-25A), 5-year forecast, FCFF, discounting, sensitivity</t>
        </is>
      </c>
    </row>
    <row r="12">
      <c r="A12" s="2" t="inlineStr">
        <is>
          <t>3. Comps — peer trading multiples and implied valuation</t>
        </is>
      </c>
    </row>
    <row r="13">
      <c r="A13" s="2" t="inlineStr">
        <is>
          <t>4. Football Field — valuation summary across methods</t>
        </is>
      </c>
    </row>
    <row r="14">
      <c r="A14" s="2" t="inlineStr"/>
    </row>
    <row r="15">
      <c r="A15" s="3" t="inlineStr">
        <is>
          <t>PRIMARY SOURCES (figures pulled July 12, 2026)</t>
        </is>
      </c>
    </row>
    <row r="16">
      <c r="A16" s="2" t="inlineStr">
        <is>
          <t>FY2025 results: Campari Group FY2025 press release (Mar 4, 2026) — camparigroup.com/en/page/investors/financial-reports</t>
        </is>
      </c>
    </row>
    <row r="17">
      <c r="A17" s="2" t="inlineStr">
        <is>
          <t xml:space="preserve">  Net sales €3,051m; EBITDA-adj €785m (25.7%); EBIT-adj €637m (20.9%); Net profit-adj €386m;</t>
        </is>
      </c>
    </row>
    <row r="18">
      <c r="A18" s="2" t="inlineStr">
        <is>
          <t xml:space="preserve">  Net financial debt €1,958m (2.5x EBITDA); Capex €270m (€143m extraordinary); DPS €0.10.</t>
        </is>
      </c>
    </row>
    <row r="19">
      <c r="A19" s="2" t="inlineStr">
        <is>
          <t>FY2024: Net sales €3,069.7m; EBIT-adj €604.9m (19.7%).</t>
        </is>
      </c>
    </row>
    <row r="20">
      <c r="A20" s="2" t="inlineStr">
        <is>
          <t>FY2026 guidance: continued organic growth, ~€30m tariff headwind, ~€(70)m perimeter from disposals,</t>
        </is>
      </c>
    </row>
    <row r="21">
      <c r="A21" s="2" t="inlineStr">
        <is>
          <t xml:space="preserve">  SG&amp;A savings ~70bps in 2026 (200bps by end-2027).</t>
        </is>
      </c>
    </row>
    <row r="22">
      <c r="A22" s="2" t="inlineStr">
        <is>
          <t>Market data: stockanalysis.com — price €5.49, mcap €6.58bn, raw beta 0.43 (Jul 2, 2026).</t>
        </is>
      </c>
    </row>
    <row r="23">
      <c r="A23" s="2" t="inlineStr">
        <is>
          <t>Balance sheet: operating WC €1,299.4m at Dec-25 (FY2025 press release). 10Y Bund 3.01% (TradingEconomics, Jun 2026).</t>
        </is>
      </c>
    </row>
    <row r="24">
      <c r="A24" s="2" t="inlineStr">
        <is>
          <t>Peer multiples: stockanalysis.com (Jun-Jul 2026): Diageo 11.3x, Pernod Ricard 9.4x, Rémy Cointreau 14.2x,</t>
        </is>
      </c>
    </row>
    <row r="25">
      <c r="A25" s="2" t="inlineStr">
        <is>
          <t xml:space="preserve">  Brown-Forman 12.1x EV/EBITDA.</t>
        </is>
      </c>
    </row>
    <row r="26">
      <c r="A26" s="2" t="inlineStr"/>
    </row>
    <row r="27">
      <c r="A27" s="3" t="inlineStr">
        <is>
          <t>TO DO BEFORE PRESENTING</t>
        </is>
      </c>
    </row>
    <row r="28">
      <c r="A28" s="2" t="inlineStr">
        <is>
          <t>· Refresh the share price (yellow cell) on the day you present</t>
        </is>
      </c>
    </row>
    <row r="29">
      <c r="A29" s="2" t="inlineStr">
        <is>
          <t>· Read the FY2025 Annual Report and form YOUR view on revenue/margin assumptions — the model is the engine, the view is yours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8" customWidth="1" min="8" max="8"/>
  </cols>
  <sheetData>
    <row r="1">
      <c r="A1" s="1" t="inlineStr">
        <is>
          <t>Assumptions — all blue cells are inputs</t>
        </is>
      </c>
    </row>
    <row r="3">
      <c r="A3" s="5" t="inlineStr">
        <is>
          <t>FORECAST DRIVERS (FY2026E – FY2030E)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3" t="inlineStr">
        <is>
          <t>Year</t>
        </is>
      </c>
      <c r="C4" s="3" t="inlineStr">
        <is>
          <t>2026E</t>
        </is>
      </c>
      <c r="D4" s="3" t="inlineStr">
        <is>
          <t>2027E</t>
        </is>
      </c>
      <c r="E4" s="3" t="inlineStr">
        <is>
          <t>2028E</t>
        </is>
      </c>
      <c r="F4" s="3" t="inlineStr">
        <is>
          <t>2029E</t>
        </is>
      </c>
      <c r="G4" s="3" t="inlineStr">
        <is>
          <t>2030E</t>
        </is>
      </c>
    </row>
    <row r="5">
      <c r="A5" s="2" t="inlineStr">
        <is>
          <t>Net sales growth (reported)</t>
        </is>
      </c>
      <c r="C5" s="7" t="n">
        <v>0.005</v>
      </c>
      <c r="D5" s="8" t="n">
        <v>0.03</v>
      </c>
      <c r="E5" s="8" t="n">
        <v>0.03</v>
      </c>
      <c r="F5" s="8" t="n">
        <v>0.028</v>
      </c>
      <c r="G5" s="8" t="n">
        <v>0.025</v>
      </c>
      <c r="H5" s="2" t="inlineStr">
        <is>
          <t>2026 ~flat: +2.5% organic less ~€70m disposals &amp; €30m tariffs (guidance); then GDP+ premium-spirits growth</t>
        </is>
      </c>
    </row>
    <row r="6">
      <c r="A6" s="2" t="inlineStr">
        <is>
          <t>EBITDA-adjusted margin</t>
        </is>
      </c>
      <c r="C6" s="8" t="n">
        <v>0.26</v>
      </c>
      <c r="D6" s="8" t="n">
        <v>0.264</v>
      </c>
      <c r="E6" s="8" t="n">
        <v>0.267</v>
      </c>
      <c r="F6" s="8" t="n">
        <v>0.269</v>
      </c>
      <c r="G6" s="8" t="n">
        <v>0.27</v>
      </c>
      <c r="H6" s="2" t="inlineStr">
        <is>
          <t>25.7% in FY2025A; gradual accretion from SG&amp;A programme (200bps by 2027) partly reinvested</t>
        </is>
      </c>
    </row>
    <row r="7">
      <c r="A7" s="2" t="inlineStr">
        <is>
          <t>D&amp;A (% of net sales)</t>
        </is>
      </c>
      <c r="C7" s="8" t="n">
        <v>0.048</v>
      </c>
      <c r="D7" s="8" t="n">
        <v>0.048</v>
      </c>
      <c r="E7" s="8" t="n">
        <v>0.048</v>
      </c>
      <c r="F7" s="8" t="n">
        <v>0.048</v>
      </c>
      <c r="G7" s="8" t="n">
        <v>0.048</v>
      </c>
      <c r="H7" s="2" t="inlineStr">
        <is>
          <t>FY2025A: EBITDA−EBIT = €148m = 4.85% of sales; held flat</t>
        </is>
      </c>
    </row>
    <row r="8">
      <c r="A8" s="2" t="inlineStr">
        <is>
          <t>Capex (% of net sales)</t>
        </is>
      </c>
      <c r="C8" s="8" t="n">
        <v>0.07000000000000001</v>
      </c>
      <c r="D8" s="8" t="n">
        <v>0.06</v>
      </c>
      <c r="E8" s="8" t="n">
        <v>0.05</v>
      </c>
      <c r="F8" s="8" t="n">
        <v>0.045</v>
      </c>
      <c r="G8" s="8" t="n">
        <v>0.045</v>
      </c>
      <c r="H8" s="2" t="inlineStr">
        <is>
          <t>FY2025A 8.8% incl. €143m extraordinary; normalising as extraordinary programme ends</t>
        </is>
      </c>
    </row>
    <row r="9">
      <c r="A9" s="2" t="inlineStr">
        <is>
          <t>Net working capital (% of net sales)</t>
        </is>
      </c>
      <c r="C9" s="8" t="n">
        <v>0.426</v>
      </c>
      <c r="H9" s="2" t="inlineStr">
        <is>
          <t>Actual Dec-25 operating WC €1,299.4m (inv. 1,686.9 + rec. 327.1 − pay. 714.6) / net sales — FY2025 press release</t>
        </is>
      </c>
    </row>
    <row r="10">
      <c r="A10" s="2" t="inlineStr">
        <is>
          <t>Tax rate (on EBIT)</t>
        </is>
      </c>
      <c r="C10" s="8" t="n">
        <v>0.27</v>
      </c>
      <c r="H10" s="2" t="inlineStr">
        <is>
          <t>Approx. group effective rate — verify from Annual Report tax note</t>
        </is>
      </c>
    </row>
    <row r="12">
      <c r="A12" s="5" t="inlineStr">
        <is>
          <t>WACC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2" t="inlineStr">
        <is>
          <t>Risk-free rate (10Y Bund)</t>
        </is>
      </c>
      <c r="C13" s="8" t="n">
        <v>0.0301</v>
      </c>
      <c r="H13" s="2" t="inlineStr">
        <is>
          <t>10Y Bund 3.01% — TradingEconomics, Jun 2026</t>
        </is>
      </c>
    </row>
    <row r="14">
      <c r="A14" s="2" t="inlineStr">
        <is>
          <t>Equity risk premium</t>
        </is>
      </c>
      <c r="C14" s="8" t="n">
        <v>0.055</v>
      </c>
      <c r="H14" s="2" t="inlineStr">
        <is>
          <t>Damodaran mature-market ERP</t>
        </is>
      </c>
    </row>
    <row r="15">
      <c r="A15" s="2" t="inlineStr">
        <is>
          <t>Levered beta: raw (col C) / Blume-adjusted (col D)</t>
        </is>
      </c>
      <c r="C15" s="9" t="n">
        <v>0.43</v>
      </c>
      <c r="D15" s="10">
        <f>0.67*C15+0.33</f>
        <v/>
      </c>
      <c r="H15" s="2" t="inlineStr">
        <is>
          <t>Raw 5Y beta 0.43 (stockanalysis.com, Jul 2026); Blume adjustment 0.67·raw+0.33 — standard mean-reversion</t>
        </is>
      </c>
    </row>
    <row r="16">
      <c r="A16" s="2" t="inlineStr">
        <is>
          <t>Cost of equity</t>
        </is>
      </c>
      <c r="C16" s="11">
        <f>C13+D15*C14</f>
        <v/>
      </c>
    </row>
    <row r="17">
      <c r="A17" s="2" t="inlineStr">
        <is>
          <t>Pre-tax cost of debt</t>
        </is>
      </c>
      <c r="C17" s="8" t="n">
        <v>0.036</v>
      </c>
      <c r="H17" s="2" t="inlineStr">
        <is>
          <t>Approx. blended rate on bonds/loans — verify from Annual Report</t>
        </is>
      </c>
    </row>
    <row r="18">
      <c r="A18" s="2" t="inlineStr">
        <is>
          <t>After-tax cost of debt</t>
        </is>
      </c>
      <c r="C18" s="11">
        <f>C17*(1-C10)</f>
        <v/>
      </c>
    </row>
    <row r="19">
      <c r="A19" s="2" t="inlineStr">
        <is>
          <t>Debt / (Debt + Equity), target</t>
        </is>
      </c>
      <c r="C19" s="8" t="n">
        <v>0.23</v>
      </c>
      <c r="H19" s="2" t="inlineStr">
        <is>
          <t>Current: ND €1,958m vs mcap €6,580m ≈ 23%</t>
        </is>
      </c>
    </row>
    <row r="20">
      <c r="A20" s="2" t="inlineStr">
        <is>
          <t>WACC</t>
        </is>
      </c>
      <c r="C20" s="12">
        <f>(1-C19)*C16+C19*C18</f>
        <v/>
      </c>
    </row>
    <row r="22">
      <c r="A22" s="5" t="inlineStr">
        <is>
          <t>TERMINAL VALUE &amp; MARKET DATA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2" t="inlineStr">
        <is>
          <t>Terminal growth rate (g)</t>
        </is>
      </c>
      <c r="C23" s="8" t="n">
        <v>0.02</v>
      </c>
      <c r="H23" s="2" t="inlineStr">
        <is>
          <t>Long-run nominal growth ≤ eurozone nominal GDP</t>
        </is>
      </c>
    </row>
    <row r="24">
      <c r="A24" s="2" t="inlineStr">
        <is>
          <t>Exit EV/EBITDA multiple</t>
        </is>
      </c>
      <c r="C24" s="13" t="n">
        <v>11.5</v>
      </c>
      <c r="H24" s="2" t="inlineStr">
        <is>
          <t>Around peer median — see Comps tab</t>
        </is>
      </c>
    </row>
    <row r="25">
      <c r="A25" s="2" t="inlineStr">
        <is>
          <t>Net financial debt, FY2025A (€m)</t>
        </is>
      </c>
      <c r="C25" s="14" t="n">
        <v>1958</v>
      </c>
      <c r="H25" s="2" t="inlineStr">
        <is>
          <t>FY2025 press release</t>
        </is>
      </c>
    </row>
    <row r="26">
      <c r="A26" s="2" t="inlineStr">
        <is>
          <t>Shares outstanding (m)</t>
        </is>
      </c>
      <c r="C26" s="14" t="n">
        <v>1199</v>
      </c>
      <c r="H26" s="2" t="inlineStr">
        <is>
          <t>Mcap €6.58bn / price €5.49 (stockanalysis.com, Jul 2, 2026); treasury shares 32.5m at Dec-25</t>
        </is>
      </c>
    </row>
    <row r="27">
      <c r="A27" s="2" t="inlineStr">
        <is>
          <t>Current share price (€)</t>
        </is>
      </c>
      <c r="C27" s="15" t="n">
        <v>5.49</v>
      </c>
      <c r="H27" s="2" t="inlineStr">
        <is>
          <t>Close Jul 2, 2026 — refresh on the day you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DCF Model — FCFF (€m unless stated)</t>
        </is>
      </c>
    </row>
    <row r="3">
      <c r="A3" s="3" t="inlineStr"/>
      <c r="B3" s="3" t="inlineStr">
        <is>
          <t>2024A</t>
        </is>
      </c>
      <c r="C3" s="3" t="inlineStr">
        <is>
          <t>2025A</t>
        </is>
      </c>
      <c r="D3" s="3" t="inlineStr">
        <is>
          <t>2026E</t>
        </is>
      </c>
      <c r="E3" s="3" t="inlineStr">
        <is>
          <t>2027E</t>
        </is>
      </c>
      <c r="F3" s="3" t="inlineStr">
        <is>
          <t>2028E</t>
        </is>
      </c>
      <c r="G3" s="3" t="inlineStr">
        <is>
          <t>2029E</t>
        </is>
      </c>
      <c r="H3" s="3" t="inlineStr">
        <is>
          <t>2030E</t>
        </is>
      </c>
    </row>
    <row r="4">
      <c r="A4" s="2" t="inlineStr">
        <is>
          <t>Year index (forecast)</t>
        </is>
      </c>
      <c r="D4" s="16" t="n">
        <v>1</v>
      </c>
      <c r="E4" s="16" t="n">
        <v>2</v>
      </c>
      <c r="F4" s="16" t="n">
        <v>3</v>
      </c>
      <c r="G4" s="16" t="n">
        <v>4</v>
      </c>
      <c r="H4" s="16" t="n">
        <v>5</v>
      </c>
    </row>
    <row r="5">
      <c r="A5" s="5" t="inlineStr">
        <is>
          <t>OPERATING MODEL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2" t="inlineStr">
        <is>
          <t>Net sales</t>
        </is>
      </c>
      <c r="B6" s="14" t="n">
        <v>3069.7</v>
      </c>
      <c r="C6" s="14" t="n">
        <v>3051</v>
      </c>
      <c r="D6" s="17">
        <f>C6*(1+Assumptions!C5)</f>
        <v/>
      </c>
      <c r="E6" s="17">
        <f>D6*(1+Assumptions!D5)</f>
        <v/>
      </c>
      <c r="F6" s="17">
        <f>E6*(1+Assumptions!E5)</f>
        <v/>
      </c>
      <c r="G6" s="17">
        <f>F6*(1+Assumptions!F5)</f>
        <v/>
      </c>
      <c r="H6" s="17">
        <f>G6*(1+Assumptions!G5)</f>
        <v/>
      </c>
    </row>
    <row r="7">
      <c r="A7" s="2" t="inlineStr">
        <is>
          <t xml:space="preserve">  growth %</t>
        </is>
      </c>
      <c r="C7" s="11">
        <f>C6/B6-1</f>
        <v/>
      </c>
      <c r="D7" s="11">
        <f>D6/C6-1</f>
        <v/>
      </c>
      <c r="E7" s="11">
        <f>E6/D6-1</f>
        <v/>
      </c>
      <c r="F7" s="11">
        <f>F6/E6-1</f>
        <v/>
      </c>
      <c r="G7" s="11">
        <f>G6/F6-1</f>
        <v/>
      </c>
      <c r="H7" s="11">
        <f>H6/G6-1</f>
        <v/>
      </c>
    </row>
    <row r="8">
      <c r="A8" s="2" t="inlineStr">
        <is>
          <t>EBITDA-adjusted</t>
        </is>
      </c>
      <c r="C8" s="14" t="n">
        <v>785</v>
      </c>
      <c r="D8" s="17">
        <f>D6*Assumptions!C6</f>
        <v/>
      </c>
      <c r="E8" s="17">
        <f>E6*Assumptions!D6</f>
        <v/>
      </c>
      <c r="F8" s="17">
        <f>F6*Assumptions!E6</f>
        <v/>
      </c>
      <c r="G8" s="17">
        <f>G6*Assumptions!F6</f>
        <v/>
      </c>
      <c r="H8" s="17">
        <f>H6*Assumptions!G6</f>
        <v/>
      </c>
    </row>
    <row r="9">
      <c r="A9" s="2" t="inlineStr">
        <is>
          <t xml:space="preserve">  margin %</t>
        </is>
      </c>
      <c r="C9" s="11">
        <f>IF(C8="","",C8/C6)</f>
        <v/>
      </c>
      <c r="D9" s="11">
        <f>IF(D8="","",D8/D6)</f>
        <v/>
      </c>
      <c r="E9" s="11">
        <f>IF(E8="","",E8/E6)</f>
        <v/>
      </c>
      <c r="F9" s="11">
        <f>IF(F8="","",F8/F6)</f>
        <v/>
      </c>
      <c r="G9" s="11">
        <f>IF(G8="","",G8/G6)</f>
        <v/>
      </c>
      <c r="H9" s="11">
        <f>IF(H8="","",H8/H6)</f>
        <v/>
      </c>
    </row>
    <row r="10">
      <c r="A10" s="2" t="inlineStr">
        <is>
          <t>D&amp;A</t>
        </is>
      </c>
      <c r="C10" s="17">
        <f>C8-C11</f>
        <v/>
      </c>
      <c r="D10" s="17">
        <f>D6*Assumptions!C7</f>
        <v/>
      </c>
      <c r="E10" s="17">
        <f>E6*Assumptions!D7</f>
        <v/>
      </c>
      <c r="F10" s="17">
        <f>F6*Assumptions!E7</f>
        <v/>
      </c>
      <c r="G10" s="17">
        <f>G6*Assumptions!F7</f>
        <v/>
      </c>
      <c r="H10" s="17">
        <f>H6*Assumptions!G7</f>
        <v/>
      </c>
    </row>
    <row r="11">
      <c r="A11" s="2" t="inlineStr">
        <is>
          <t>EBIT-adjusted</t>
        </is>
      </c>
      <c r="B11" s="14" t="n">
        <v>604.9</v>
      </c>
      <c r="C11" s="14" t="n">
        <v>637</v>
      </c>
      <c r="D11" s="17">
        <f>D8-D10</f>
        <v/>
      </c>
      <c r="E11" s="17">
        <f>E8-E10</f>
        <v/>
      </c>
      <c r="F11" s="17">
        <f>F8-F10</f>
        <v/>
      </c>
      <c r="G11" s="17">
        <f>G8-G10</f>
        <v/>
      </c>
      <c r="H11" s="17">
        <f>H8-H10</f>
        <v/>
      </c>
    </row>
    <row r="13">
      <c r="A13" s="5" t="inlineStr">
        <is>
          <t>FREE CASH FLOW TO FIRM (FORECAST)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2" t="inlineStr">
        <is>
          <t>NOPAT  (EBIT × (1 − tax))</t>
        </is>
      </c>
      <c r="D14" s="17">
        <f>D11*(1-Assumptions!$C$10)</f>
        <v/>
      </c>
      <c r="E14" s="17">
        <f>E11*(1-Assumptions!$C$10)</f>
        <v/>
      </c>
      <c r="F14" s="17">
        <f>F11*(1-Assumptions!$C$10)</f>
        <v/>
      </c>
      <c r="G14" s="17">
        <f>G11*(1-Assumptions!$C$10)</f>
        <v/>
      </c>
      <c r="H14" s="17">
        <f>H11*(1-Assumptions!$C$10)</f>
        <v/>
      </c>
    </row>
    <row r="15">
      <c r="A15" s="2" t="inlineStr">
        <is>
          <t>(+) D&amp;A</t>
        </is>
      </c>
      <c r="D15" s="17">
        <f>D10</f>
        <v/>
      </c>
      <c r="E15" s="17">
        <f>E10</f>
        <v/>
      </c>
      <c r="F15" s="17">
        <f>F10</f>
        <v/>
      </c>
      <c r="G15" s="17">
        <f>G10</f>
        <v/>
      </c>
      <c r="H15" s="17">
        <f>H10</f>
        <v/>
      </c>
    </row>
    <row r="16">
      <c r="A16" s="2" t="inlineStr">
        <is>
          <t>(−) Capex</t>
        </is>
      </c>
      <c r="D16" s="17">
        <f>-D6*Assumptions!C8</f>
        <v/>
      </c>
      <c r="E16" s="17">
        <f>-E6*Assumptions!D8</f>
        <v/>
      </c>
      <c r="F16" s="17">
        <f>-F6*Assumptions!E8</f>
        <v/>
      </c>
      <c r="G16" s="17">
        <f>-G6*Assumptions!F8</f>
        <v/>
      </c>
      <c r="H16" s="17">
        <f>-H6*Assumptions!G8</f>
        <v/>
      </c>
    </row>
    <row r="17">
      <c r="A17" s="2" t="inlineStr">
        <is>
          <t>Net working capital (level)</t>
        </is>
      </c>
      <c r="C17" s="17">
        <f>C6*Assumptions!$C$9</f>
        <v/>
      </c>
      <c r="D17" s="17">
        <f>D6*Assumptions!$C$9</f>
        <v/>
      </c>
      <c r="E17" s="17">
        <f>E6*Assumptions!$C$9</f>
        <v/>
      </c>
      <c r="F17" s="17">
        <f>F6*Assumptions!$C$9</f>
        <v/>
      </c>
      <c r="G17" s="17">
        <f>G6*Assumptions!$C$9</f>
        <v/>
      </c>
      <c r="H17" s="17">
        <f>H6*Assumptions!$C$9</f>
        <v/>
      </c>
    </row>
    <row r="18">
      <c r="A18" s="2" t="inlineStr">
        <is>
          <t>(−) Change in NWC</t>
        </is>
      </c>
      <c r="D18" s="17">
        <f>-(D17-C17)</f>
        <v/>
      </c>
      <c r="E18" s="17">
        <f>-(E17-D17)</f>
        <v/>
      </c>
      <c r="F18" s="17">
        <f>-(F17-E17)</f>
        <v/>
      </c>
      <c r="G18" s="17">
        <f>-(G17-F17)</f>
        <v/>
      </c>
      <c r="H18" s="17">
        <f>-(H17-G17)</f>
        <v/>
      </c>
    </row>
    <row r="19">
      <c r="A19" s="3" t="inlineStr">
        <is>
          <t>FCFF</t>
        </is>
      </c>
      <c r="D19" s="18">
        <f>D14+D15+D16+D18</f>
        <v/>
      </c>
      <c r="E19" s="18">
        <f>E14+E15+E16+E18</f>
        <v/>
      </c>
      <c r="F19" s="18">
        <f>F14+F15+F16+F18</f>
        <v/>
      </c>
      <c r="G19" s="18">
        <f>G14+G15+G16+G18</f>
        <v/>
      </c>
      <c r="H19" s="18">
        <f>H14+H15+H16+H18</f>
        <v/>
      </c>
    </row>
    <row r="20">
      <c r="A20" s="2" t="inlineStr">
        <is>
          <t>Discount factor</t>
        </is>
      </c>
      <c r="D20" s="19">
        <f>1/(1+Assumptions!$C$20)^D4</f>
        <v/>
      </c>
      <c r="E20" s="19">
        <f>1/(1+Assumptions!$C$20)^E4</f>
        <v/>
      </c>
      <c r="F20" s="19">
        <f>1/(1+Assumptions!$C$20)^F4</f>
        <v/>
      </c>
      <c r="G20" s="19">
        <f>1/(1+Assumptions!$C$20)^G4</f>
        <v/>
      </c>
      <c r="H20" s="19">
        <f>1/(1+Assumptions!$C$20)^H4</f>
        <v/>
      </c>
    </row>
    <row r="21">
      <c r="A21" s="2" t="inlineStr">
        <is>
          <t>PV of FCFF</t>
        </is>
      </c>
      <c r="D21" s="17">
        <f>D19*D20</f>
        <v/>
      </c>
      <c r="E21" s="17">
        <f>E19*E20</f>
        <v/>
      </c>
      <c r="F21" s="17">
        <f>F19*F20</f>
        <v/>
      </c>
      <c r="G21" s="17">
        <f>G19*G20</f>
        <v/>
      </c>
      <c r="H21" s="17">
        <f>H19*H20</f>
        <v/>
      </c>
    </row>
    <row r="23">
      <c r="A23" s="5" t="inlineStr">
        <is>
          <t>VALUATION — GORDON GROWTH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2" t="inlineStr">
        <is>
          <t>Sum of PV of FCFF (2026-30)</t>
        </is>
      </c>
      <c r="B24" s="17">
        <f>SUM(D21:H21)</f>
        <v/>
      </c>
    </row>
    <row r="25">
      <c r="A25" s="2" t="inlineStr">
        <is>
          <t>Terminal value (Gordon)</t>
        </is>
      </c>
      <c r="B25" s="17">
        <f>H19*(1+Assumptions!C23)/(Assumptions!C20-Assumptions!C23)</f>
        <v/>
      </c>
    </row>
    <row r="26">
      <c r="A26" s="2" t="inlineStr">
        <is>
          <t>PV of terminal value</t>
        </is>
      </c>
      <c r="B26" s="17">
        <f>B25*H20</f>
        <v/>
      </c>
    </row>
    <row r="27">
      <c r="A27" s="2" t="inlineStr">
        <is>
          <t>Enterprise value</t>
        </is>
      </c>
      <c r="B27" s="20">
        <f>B24+B26</f>
        <v/>
      </c>
    </row>
    <row r="28">
      <c r="A28" s="2" t="inlineStr">
        <is>
          <t>(−) Net financial debt</t>
        </is>
      </c>
      <c r="B28" s="17">
        <f>-Assumptions!C25</f>
        <v/>
      </c>
    </row>
    <row r="29">
      <c r="A29" s="2" t="inlineStr">
        <is>
          <t>Equity value</t>
        </is>
      </c>
      <c r="B29" s="20">
        <f>B27+B28</f>
        <v/>
      </c>
    </row>
    <row r="30">
      <c r="A30" s="3" t="inlineStr">
        <is>
          <t>Implied share price (€)</t>
        </is>
      </c>
      <c r="B30" s="21">
        <f>B29/Assumptions!C26</f>
        <v/>
      </c>
    </row>
    <row r="31">
      <c r="A31" s="2" t="inlineStr">
        <is>
          <t>Upside / (downside) vs current</t>
        </is>
      </c>
      <c r="B31" s="11">
        <f>B30/Assumptions!C27-1</f>
        <v/>
      </c>
    </row>
    <row r="32">
      <c r="A32" s="2" t="inlineStr">
        <is>
          <t>% of EV in terminal value</t>
        </is>
      </c>
      <c r="B32" s="11">
        <f>B26/B27</f>
        <v/>
      </c>
    </row>
    <row r="34">
      <c r="A34" s="5" t="inlineStr">
        <is>
          <t>VALUATION — EXIT MULTIPLE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2" t="inlineStr">
        <is>
          <t>Terminal value (exit EV/EBITDA)</t>
        </is>
      </c>
      <c r="B35" s="17">
        <f>H8*Assumptions!C24</f>
        <v/>
      </c>
    </row>
    <row r="36">
      <c r="A36" s="2" t="inlineStr">
        <is>
          <t>PV of terminal value</t>
        </is>
      </c>
      <c r="B36" s="17">
        <f>B35*H20</f>
        <v/>
      </c>
    </row>
    <row r="37">
      <c r="A37" s="2" t="inlineStr">
        <is>
          <t>Enterprise value</t>
        </is>
      </c>
      <c r="B37" s="20">
        <f>B24+B36</f>
        <v/>
      </c>
    </row>
    <row r="38">
      <c r="A38" s="3" t="inlineStr">
        <is>
          <t>Implied share price (€)</t>
        </is>
      </c>
      <c r="B38" s="21">
        <f>(B37-Assumptions!C25)/Assumptions!C26</f>
        <v/>
      </c>
    </row>
    <row r="39">
      <c r="A39" s="2" t="inlineStr">
        <is>
          <t>Upside / (downside) vs current</t>
        </is>
      </c>
      <c r="B39" s="11">
        <f>B38/Assumptions!C27-1</f>
        <v/>
      </c>
    </row>
    <row r="41">
      <c r="A41" s="5" t="inlineStr">
        <is>
          <t>SENSITIVITY — IMPLIED PRICE (GORDON): WACC × TERMINAL g</t>
        </is>
      </c>
      <c r="B41" s="6" t="n"/>
      <c r="C41" s="6" t="n"/>
      <c r="D41" s="6" t="n"/>
      <c r="E41" s="6" t="n"/>
      <c r="F41" s="6" t="n"/>
      <c r="G41" s="6" t="n"/>
      <c r="H41" s="6" t="n"/>
    </row>
    <row r="42">
      <c r="A42" s="3" t="inlineStr">
        <is>
          <t>WACC \ g</t>
        </is>
      </c>
      <c r="B42" s="22" t="n">
        <v>0.015</v>
      </c>
      <c r="C42" s="22" t="n">
        <v>0.0175</v>
      </c>
      <c r="D42" s="22" t="n">
        <v>0.02</v>
      </c>
      <c r="E42" s="22" t="n">
        <v>0.0225</v>
      </c>
      <c r="F42" s="22" t="n">
        <v>0.025</v>
      </c>
    </row>
    <row r="43">
      <c r="A43" s="22" t="n">
        <v>0.055</v>
      </c>
      <c r="B43" s="23">
        <f>($D$19/(1+$A43)^1+$E$19/(1+$A43)^2+$F$19/(1+$A43)^3+$G$19/(1+$A43)^4+$H$19/(1+$A43)^5+($H$19*(1+B$42)/($A43-B$42))/(1+$A43)^5-Assumptions!$C$25)/Assumptions!$C$26</f>
        <v/>
      </c>
      <c r="C43" s="23">
        <f>($D$19/(1+$A43)^1+$E$19/(1+$A43)^2+$F$19/(1+$A43)^3+$G$19/(1+$A43)^4+$H$19/(1+$A43)^5+($H$19*(1+C$42)/($A43-C$42))/(1+$A43)^5-Assumptions!$C$25)/Assumptions!$C$26</f>
        <v/>
      </c>
      <c r="D43" s="23">
        <f>($D$19/(1+$A43)^1+$E$19/(1+$A43)^2+$F$19/(1+$A43)^3+$G$19/(1+$A43)^4+$H$19/(1+$A43)^5+($H$19*(1+D$42)/($A43-D$42))/(1+$A43)^5-Assumptions!$C$25)/Assumptions!$C$26</f>
        <v/>
      </c>
      <c r="E43" s="23">
        <f>($D$19/(1+$A43)^1+$E$19/(1+$A43)^2+$F$19/(1+$A43)^3+$G$19/(1+$A43)^4+$H$19/(1+$A43)^5+($H$19*(1+E$42)/($A43-E$42))/(1+$A43)^5-Assumptions!$C$25)/Assumptions!$C$26</f>
        <v/>
      </c>
      <c r="F43" s="23">
        <f>($D$19/(1+$A43)^1+$E$19/(1+$A43)^2+$F$19/(1+$A43)^3+$G$19/(1+$A43)^4+$H$19/(1+$A43)^5+($H$19*(1+F$42)/($A43-F$42))/(1+$A43)^5-Assumptions!$C$25)/Assumptions!$C$26</f>
        <v/>
      </c>
    </row>
    <row r="44">
      <c r="A44" s="22" t="n">
        <v>0.06</v>
      </c>
      <c r="B44" s="23">
        <f>($D$19/(1+$A44)^1+$E$19/(1+$A44)^2+$F$19/(1+$A44)^3+$G$19/(1+$A44)^4+$H$19/(1+$A44)^5+($H$19*(1+B$42)/($A44-B$42))/(1+$A44)^5-Assumptions!$C$25)/Assumptions!$C$26</f>
        <v/>
      </c>
      <c r="C44" s="23">
        <f>($D$19/(1+$A44)^1+$E$19/(1+$A44)^2+$F$19/(1+$A44)^3+$G$19/(1+$A44)^4+$H$19/(1+$A44)^5+($H$19*(1+C$42)/($A44-C$42))/(1+$A44)^5-Assumptions!$C$25)/Assumptions!$C$26</f>
        <v/>
      </c>
      <c r="D44" s="23">
        <f>($D$19/(1+$A44)^1+$E$19/(1+$A44)^2+$F$19/(1+$A44)^3+$G$19/(1+$A44)^4+$H$19/(1+$A44)^5+($H$19*(1+D$42)/($A44-D$42))/(1+$A44)^5-Assumptions!$C$25)/Assumptions!$C$26</f>
        <v/>
      </c>
      <c r="E44" s="23">
        <f>($D$19/(1+$A44)^1+$E$19/(1+$A44)^2+$F$19/(1+$A44)^3+$G$19/(1+$A44)^4+$H$19/(1+$A44)^5+($H$19*(1+E$42)/($A44-E$42))/(1+$A44)^5-Assumptions!$C$25)/Assumptions!$C$26</f>
        <v/>
      </c>
      <c r="F44" s="23">
        <f>($D$19/(1+$A44)^1+$E$19/(1+$A44)^2+$F$19/(1+$A44)^3+$G$19/(1+$A44)^4+$H$19/(1+$A44)^5+($H$19*(1+F$42)/($A44-F$42))/(1+$A44)^5-Assumptions!$C$25)/Assumptions!$C$26</f>
        <v/>
      </c>
    </row>
    <row r="45">
      <c r="A45" s="22" t="n">
        <v>0.065</v>
      </c>
      <c r="B45" s="23">
        <f>($D$19/(1+$A45)^1+$E$19/(1+$A45)^2+$F$19/(1+$A45)^3+$G$19/(1+$A45)^4+$H$19/(1+$A45)^5+($H$19*(1+B$42)/($A45-B$42))/(1+$A45)^5-Assumptions!$C$25)/Assumptions!$C$26</f>
        <v/>
      </c>
      <c r="C45" s="23">
        <f>($D$19/(1+$A45)^1+$E$19/(1+$A45)^2+$F$19/(1+$A45)^3+$G$19/(1+$A45)^4+$H$19/(1+$A45)^5+($H$19*(1+C$42)/($A45-C$42))/(1+$A45)^5-Assumptions!$C$25)/Assumptions!$C$26</f>
        <v/>
      </c>
      <c r="D45" s="23">
        <f>($D$19/(1+$A45)^1+$E$19/(1+$A45)^2+$F$19/(1+$A45)^3+$G$19/(1+$A45)^4+$H$19/(1+$A45)^5+($H$19*(1+D$42)/($A45-D$42))/(1+$A45)^5-Assumptions!$C$25)/Assumptions!$C$26</f>
        <v/>
      </c>
      <c r="E45" s="23">
        <f>($D$19/(1+$A45)^1+$E$19/(1+$A45)^2+$F$19/(1+$A45)^3+$G$19/(1+$A45)^4+$H$19/(1+$A45)^5+($H$19*(1+E$42)/($A45-E$42))/(1+$A45)^5-Assumptions!$C$25)/Assumptions!$C$26</f>
        <v/>
      </c>
      <c r="F45" s="23">
        <f>($D$19/(1+$A45)^1+$E$19/(1+$A45)^2+$F$19/(1+$A45)^3+$G$19/(1+$A45)^4+$H$19/(1+$A45)^5+($H$19*(1+F$42)/($A45-F$42))/(1+$A45)^5-Assumptions!$C$25)/Assumptions!$C$26</f>
        <v/>
      </c>
    </row>
    <row r="46">
      <c r="A46" s="22" t="n">
        <v>0.07000000000000001</v>
      </c>
      <c r="B46" s="23">
        <f>($D$19/(1+$A46)^1+$E$19/(1+$A46)^2+$F$19/(1+$A46)^3+$G$19/(1+$A46)^4+$H$19/(1+$A46)^5+($H$19*(1+B$42)/($A46-B$42))/(1+$A46)^5-Assumptions!$C$25)/Assumptions!$C$26</f>
        <v/>
      </c>
      <c r="C46" s="23">
        <f>($D$19/(1+$A46)^1+$E$19/(1+$A46)^2+$F$19/(1+$A46)^3+$G$19/(1+$A46)^4+$H$19/(1+$A46)^5+($H$19*(1+C$42)/($A46-C$42))/(1+$A46)^5-Assumptions!$C$25)/Assumptions!$C$26</f>
        <v/>
      </c>
      <c r="D46" s="23">
        <f>($D$19/(1+$A46)^1+$E$19/(1+$A46)^2+$F$19/(1+$A46)^3+$G$19/(1+$A46)^4+$H$19/(1+$A46)^5+($H$19*(1+D$42)/($A46-D$42))/(1+$A46)^5-Assumptions!$C$25)/Assumptions!$C$26</f>
        <v/>
      </c>
      <c r="E46" s="23">
        <f>($D$19/(1+$A46)^1+$E$19/(1+$A46)^2+$F$19/(1+$A46)^3+$G$19/(1+$A46)^4+$H$19/(1+$A46)^5+($H$19*(1+E$42)/($A46-E$42))/(1+$A46)^5-Assumptions!$C$25)/Assumptions!$C$26</f>
        <v/>
      </c>
      <c r="F46" s="23">
        <f>($D$19/(1+$A46)^1+$E$19/(1+$A46)^2+$F$19/(1+$A46)^3+$G$19/(1+$A46)^4+$H$19/(1+$A46)^5+($H$19*(1+F$42)/($A46-F$42))/(1+$A46)^5-Assumptions!$C$25)/Assumptions!$C$26</f>
        <v/>
      </c>
    </row>
    <row r="47">
      <c r="A47" s="22" t="n">
        <v>0.075</v>
      </c>
      <c r="B47" s="23">
        <f>($D$19/(1+$A47)^1+$E$19/(1+$A47)^2+$F$19/(1+$A47)^3+$G$19/(1+$A47)^4+$H$19/(1+$A47)^5+($H$19*(1+B$42)/($A47-B$42))/(1+$A47)^5-Assumptions!$C$25)/Assumptions!$C$26</f>
        <v/>
      </c>
      <c r="C47" s="23">
        <f>($D$19/(1+$A47)^1+$E$19/(1+$A47)^2+$F$19/(1+$A47)^3+$G$19/(1+$A47)^4+$H$19/(1+$A47)^5+($H$19*(1+C$42)/($A47-C$42))/(1+$A47)^5-Assumptions!$C$25)/Assumptions!$C$26</f>
        <v/>
      </c>
      <c r="D47" s="23">
        <f>($D$19/(1+$A47)^1+$E$19/(1+$A47)^2+$F$19/(1+$A47)^3+$G$19/(1+$A47)^4+$H$19/(1+$A47)^5+($H$19*(1+D$42)/($A47-D$42))/(1+$A47)^5-Assumptions!$C$25)/Assumptions!$C$26</f>
        <v/>
      </c>
      <c r="E47" s="23">
        <f>($D$19/(1+$A47)^1+$E$19/(1+$A47)^2+$F$19/(1+$A47)^3+$G$19/(1+$A47)^4+$H$19/(1+$A47)^5+($H$19*(1+E$42)/($A47-E$42))/(1+$A47)^5-Assumptions!$C$25)/Assumptions!$C$26</f>
        <v/>
      </c>
      <c r="F47" s="23">
        <f>($D$19/(1+$A47)^1+$E$19/(1+$A47)^2+$F$19/(1+$A47)^3+$G$19/(1+$A47)^4+$H$19/(1+$A47)^5+($H$19*(1+F$42)/($A47-F$42))/(1+$A47)^5-Assumptions!$C$25)/Assumptions!$C$26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52" customWidth="1" min="6" max="6"/>
  </cols>
  <sheetData>
    <row r="1">
      <c r="A1" s="1" t="inlineStr">
        <is>
          <t>Trading Comparables — global premium spirits</t>
        </is>
      </c>
    </row>
    <row r="3">
      <c r="A3" s="3" t="inlineStr">
        <is>
          <t>Company</t>
        </is>
      </c>
      <c r="B3" s="3" t="inlineStr">
        <is>
          <t>EV/EBITDA</t>
        </is>
      </c>
      <c r="C3" s="3" t="inlineStr">
        <is>
          <t>P/E (fwd)</t>
        </is>
      </c>
      <c r="F3" s="2" t="inlineStr">
        <is>
          <t>Source: stockanalysis.com, Jun-Jul 2026 — refresh before presenting</t>
        </is>
      </c>
    </row>
    <row r="4">
      <c r="A4" s="2" t="inlineStr">
        <is>
          <t>Diageo</t>
        </is>
      </c>
      <c r="B4" s="13" t="n">
        <v>11.25</v>
      </c>
      <c r="C4" s="13" t="n">
        <v>12.79</v>
      </c>
    </row>
    <row r="5">
      <c r="A5" s="2" t="inlineStr">
        <is>
          <t>Pernod Ricard</t>
        </is>
      </c>
      <c r="B5" s="13" t="n">
        <v>9.43</v>
      </c>
      <c r="C5" s="13" t="n">
        <v>10.83</v>
      </c>
    </row>
    <row r="6">
      <c r="A6" s="2" t="inlineStr">
        <is>
          <t>Rémy Cointreau</t>
        </is>
      </c>
      <c r="B6" s="13" t="n">
        <v>14.17</v>
      </c>
      <c r="C6" s="13" t="n">
        <v>27.05</v>
      </c>
    </row>
    <row r="7">
      <c r="A7" s="2" t="inlineStr">
        <is>
          <t>Brown-Forman</t>
        </is>
      </c>
      <c r="B7" s="13" t="n">
        <v>12.08</v>
      </c>
      <c r="C7" s="13" t="n">
        <v>15.38</v>
      </c>
    </row>
    <row r="8">
      <c r="A8" s="3" t="inlineStr">
        <is>
          <t>Median</t>
        </is>
      </c>
      <c r="B8" s="24">
        <f>MEDIAN(B4:B7)</f>
        <v/>
      </c>
      <c r="C8" s="24">
        <f>MEDIAN(C4:C7)</f>
        <v/>
      </c>
    </row>
    <row r="9">
      <c r="A9" s="2" t="inlineStr">
        <is>
          <t>Min</t>
        </is>
      </c>
      <c r="B9" s="25">
        <f>MIN(B4:B7)</f>
        <v/>
      </c>
    </row>
    <row r="10">
      <c r="A10" s="2" t="inlineStr">
        <is>
          <t>Max</t>
        </is>
      </c>
      <c r="B10" s="25">
        <f>MAX(B4:B7)</f>
        <v/>
      </c>
    </row>
    <row r="12">
      <c r="A12" s="5" t="inlineStr">
        <is>
          <t>IMPLIED CAMPARI VALUATION (ON FY2025A EBITDA-ADJ €785m)</t>
        </is>
      </c>
      <c r="B12" s="6" t="n"/>
      <c r="C12" s="6" t="n"/>
      <c r="D12" s="6" t="n"/>
      <c r="E12" s="6" t="n"/>
      <c r="F12" s="6" t="n"/>
    </row>
    <row r="13">
      <c r="A13" s="2" t="inlineStr">
        <is>
          <t>FY2025A EBITDA-adjusted (€m)</t>
        </is>
      </c>
      <c r="B13" s="26">
        <f>'DCF Model'!C8</f>
        <v/>
      </c>
    </row>
    <row r="14">
      <c r="A14" s="2" t="inlineStr">
        <is>
          <t>Implied EV @ median (€m)</t>
        </is>
      </c>
      <c r="B14" s="17">
        <f>B13*B8</f>
        <v/>
      </c>
    </row>
    <row r="15">
      <c r="A15" s="2" t="inlineStr">
        <is>
          <t>Implied equity value (€m)</t>
        </is>
      </c>
      <c r="B15" s="17">
        <f>B14-Assumptions!C25</f>
        <v/>
      </c>
    </row>
    <row r="16">
      <c r="A16" s="3" t="inlineStr">
        <is>
          <t>Implied share price @ median (€)</t>
        </is>
      </c>
      <c r="B16" s="21">
        <f>B15/Assumptions!C26</f>
        <v/>
      </c>
    </row>
    <row r="17">
      <c r="A17" s="2" t="inlineStr">
        <is>
          <t>Implied price @ min (€)</t>
        </is>
      </c>
      <c r="B17" s="23">
        <f>(B13*B9-Assumptions!C25)/Assumptions!C26</f>
        <v/>
      </c>
    </row>
    <row r="18">
      <c r="A18" s="2" t="inlineStr">
        <is>
          <t>Implied price @ max (€)</t>
        </is>
      </c>
      <c r="B18" s="23">
        <f>(B13*B10-Assumptions!C25)/Assumptions!C26</f>
        <v/>
      </c>
    </row>
    <row r="20">
      <c r="A20" s="2" t="inlineStr">
        <is>
          <t>Note: Campari has historically traded at a premium to Pernod/Diageo on growth and</t>
        </is>
      </c>
    </row>
    <row r="21">
      <c r="A21" s="2" t="inlineStr">
        <is>
          <t>brand momentum (Aperol/Espolòn); discuss whether that premium is still justified.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Valuation Summary — implied share price ranges (€)</t>
        </is>
      </c>
    </row>
    <row r="3">
      <c r="A3" s="3" t="inlineStr">
        <is>
          <t>Method</t>
        </is>
      </c>
      <c r="B3" s="3" t="inlineStr">
        <is>
          <t>Low</t>
        </is>
      </c>
      <c r="C3" s="3" t="inlineStr">
        <is>
          <t>High</t>
        </is>
      </c>
      <c r="D3" s="3" t="inlineStr">
        <is>
          <t>Midpoint</t>
        </is>
      </c>
    </row>
    <row r="4">
      <c r="A4" s="2" t="inlineStr">
        <is>
          <t>DCF — Gordon (WACC 7.5%→5.5% @ g=2.0%)</t>
        </is>
      </c>
      <c r="B4" s="27">
        <f>'DCF Model'!D47</f>
        <v/>
      </c>
      <c r="C4" s="27">
        <f>'DCF Model'!D43</f>
        <v/>
      </c>
      <c r="D4" s="23">
        <f>(B4+C4)/2</f>
        <v/>
      </c>
    </row>
    <row r="5">
      <c r="A5" s="2" t="inlineStr">
        <is>
          <t>DCF — Exit multiple (±1.0x around input)</t>
        </is>
      </c>
      <c r="B5" s="23">
        <f>('DCF Model'!$B$24+('DCF Model'!$H$8*(Assumptions!$C$24-1))*'DCF Model'!$H$20-Assumptions!$C$25)/Assumptions!$C$26</f>
        <v/>
      </c>
      <c r="C5" s="23">
        <f>('DCF Model'!$B$24+('DCF Model'!$H$8*(Assumptions!$C$24+1))*'DCF Model'!$H$20-Assumptions!$C$25)/Assumptions!$C$26</f>
        <v/>
      </c>
      <c r="D5" s="23">
        <f>(B5+C5)/2</f>
        <v/>
      </c>
    </row>
    <row r="6">
      <c r="A6" s="2" t="inlineStr">
        <is>
          <t>Trading comps (min → max multiple)</t>
        </is>
      </c>
      <c r="B6" s="27">
        <f>Comps!B17</f>
        <v/>
      </c>
      <c r="C6" s="27">
        <f>Comps!B18</f>
        <v/>
      </c>
      <c r="D6" s="23">
        <f>(B6+C6)/2</f>
        <v/>
      </c>
    </row>
    <row r="8">
      <c r="A8" s="3" t="inlineStr">
        <is>
          <t>Current share price (€)</t>
        </is>
      </c>
      <c r="B8" s="21">
        <f>Assumptions!C27</f>
        <v/>
      </c>
    </row>
    <row r="10">
      <c r="A10" s="2" t="inlineStr">
        <is>
          <t>Reading: where the current price sits inside (or outside) these ranges is the story —</t>
        </is>
      </c>
    </row>
    <row r="11">
      <c r="A11" s="2" t="inlineStr">
        <is>
          <t>write your recommendation (Buy / Hold / Sell + target) in the research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2026-07-12T18:36:47Z</dcterms:created>
  <dcterms:modified xmlns:dcterms="http://purl.org/dc/terms/" xmlns:xsi="http://www.w3.org/2001/XMLSchema-instance" xsi:type="dcterms:W3CDTF">2026-07-12T18:36:47Z</dcterms:modified>
</cp:coreProperties>
</file>